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Claude\Projects\Quy trình UPSC\"/>
    </mc:Choice>
  </mc:AlternateContent>
  <xr:revisionPtr revIDLastSave="0" documentId="13_ncr:1_{D87590F5-FA2F-4060-98BE-00143EAC0597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Theo dõi KH d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1" l="1"/>
  <c r="Q5" i="1"/>
  <c r="R5" i="1" s="1"/>
  <c r="N5" i="1"/>
  <c r="L5" i="1"/>
  <c r="Q4" i="1"/>
  <c r="R4" i="1" s="1"/>
  <c r="N4" i="1"/>
  <c r="L4" i="1"/>
  <c r="Q3" i="1"/>
  <c r="N3" i="1"/>
  <c r="L3" i="1"/>
</calcChain>
</file>

<file path=xl/sharedStrings.xml><?xml version="1.0" encoding="utf-8"?>
<sst xmlns="http://schemas.openxmlformats.org/spreadsheetml/2006/main" count="49" uniqueCount="48">
  <si>
    <t>THÔNG TIN KHÁCH HÀNG DEAL</t>
  </si>
  <si>
    <t>NGOẠI LỆ ĐƯỢC DUYỆT</t>
  </si>
  <si>
    <t>THEO DÕI RỦI RO (KSRR)</t>
  </si>
  <si>
    <t>THEO DÕI HIỆU QUẢ (PTSP)</t>
  </si>
  <si>
    <t>ĐỀ XUẤT</t>
  </si>
  <si>
    <t>STT</t>
  </si>
  <si>
    <t>Khách hàng</t>
  </si>
  <si>
    <t>Số TK</t>
  </si>
  <si>
    <t>Môi giới</t>
  </si>
  <si>
    <t>Ngày hiệu lực</t>
  </si>
  <si>
    <t>Ngày hết hạn</t>
  </si>
  <si>
    <t>LTV duyệt (%)</t>
  </si>
  <si>
    <t>Room duyệt (CP)</t>
  </si>
  <si>
    <t>Hạn mức (trđ)</t>
  </si>
  <si>
    <t>Lãi suất (%/năm)</t>
  </si>
  <si>
    <t>Dư nợ hiện tại (trđ)</t>
  </si>
  <si>
    <t>% sử dụng HM</t>
  </si>
  <si>
    <t>Tỷ lệ ký quỹ Rtt (%)</t>
  </si>
  <si>
    <t>Trạng thái rủi ro</t>
  </si>
  <si>
    <t>Doanh thu lũy kế (trđ)</t>
  </si>
  <si>
    <t>Chi phí vốn lũy kế (trđ)</t>
  </si>
  <si>
    <t>Lợi nhuận ròng (trđ)</t>
  </si>
  <si>
    <t>Đề xuất</t>
  </si>
  <si>
    <t>Ghi chú</t>
  </si>
  <si>
    <t>Tham số ngưỡng</t>
  </si>
  <si>
    <t>Nguyễn Văn A</t>
  </si>
  <si>
    <t>001C123456</t>
  </si>
  <si>
    <t>Trần B</t>
  </si>
  <si>
    <t>01/07/2026</t>
  </si>
  <si>
    <t>31/12/2026</t>
  </si>
  <si>
    <t>Giữ</t>
  </si>
  <si>
    <t>Rtt cảnh báo (≥)</t>
  </si>
  <si>
    <t>Công ty CP XYZ</t>
  </si>
  <si>
    <t>001C654321</t>
  </si>
  <si>
    <t>Lê C</t>
  </si>
  <si>
    <t>15/06/2026</t>
  </si>
  <si>
    <t>15/06/2027</t>
  </si>
  <si>
    <t>Siết</t>
  </si>
  <si>
    <t>Rtt gần ngưỡng cảnh báo</t>
  </si>
  <si>
    <t>Rtt call margin (&lt;)</t>
  </si>
  <si>
    <t>Phạm Thị D</t>
  </si>
  <si>
    <t>001C778899</t>
  </si>
  <si>
    <t>20/06/2026</t>
  </si>
  <si>
    <t>20/12/2026</t>
  </si>
  <si>
    <t>Xử lý</t>
  </si>
  <si>
    <t>Chạm call margin</t>
  </si>
  <si>
    <t>Hiệu suất thu thực tế (%)</t>
  </si>
  <si>
    <t>Ghi chú: % sử dụng HM = Dư nợ / Hạn mức. Trạng thái theo Rtt: ≥ ngưỡng cảnh báo → An toàn; giữa → Cảnh báo; &lt; ngưỡng call → Call margin. Lợi nhuận ròng = Doanh thu − Chi phí vốn; Hiệu suất = Lợi nhuận / Dư nợ.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</si>
</sst>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E3A5F"/>
      <name val="Arial"/>
      <charset val="1"/>
    </font>
    <font>
      <b/>
      <sz val="11"/>
      <color rgb="FF1E3A5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color rgb="FF6B72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A7B8A"/>
        <bgColor rgb="FF1F7A4D"/>
      </patternFill>
    </fill>
    <fill>
      <patternFill patternType="solid">
        <fgColor rgb="FFB22222"/>
        <bgColor rgb="FF993366"/>
      </patternFill>
    </fill>
    <fill>
      <patternFill patternType="solid">
        <fgColor rgb="FF1F7A4D"/>
        <bgColor rgb="FF1A7B8A"/>
      </patternFill>
    </fill>
    <fill>
      <patternFill patternType="solid">
        <fgColor rgb="FF5B2D8E"/>
        <bgColor rgb="FF993366"/>
      </patternFill>
    </fill>
    <fill>
      <patternFill patternType="solid">
        <fgColor rgb="FFD5E8F0"/>
        <bgColor rgb="FFCCFFFF"/>
      </patternFill>
    </fill>
  </fills>
  <borders count="3">
    <border>
      <left/>
      <right/>
      <top/>
      <bottom/>
      <diagonal/>
    </border>
    <border>
      <left style="thin">
        <color rgb="FFBFC9D6"/>
      </left>
      <right/>
      <top style="thin">
        <color rgb="FFBFC9D6"/>
      </top>
      <bottom style="thin">
        <color rgb="FFBFC9D6"/>
      </bottom>
      <diagonal/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9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B8A"/>
      <rgbColor rgb="FFBFC9D6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B22222"/>
      <rgbColor rgb="FF993366"/>
      <rgbColor rgb="FF5B2D8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zoomScaleNormal="100" workbookViewId="0">
      <pane ySplit="2" topLeftCell="A3" activePane="bottomLeft" state="frozen"/>
      <selection pane="bottomLeft" activeCell="A8" sqref="A8"/>
    </sheetView>
  </sheetViews>
  <sheetFormatPr defaultColWidth="8.6640625" defaultRowHeight="14.25" x14ac:dyDescent="0.45"/>
  <cols>
    <col min="1" max="1" width="6" customWidth="1"/>
    <col min="2" max="2" width="22" customWidth="1"/>
    <col min="3" max="3" width="14" customWidth="1"/>
    <col min="4" max="4" width="16" customWidth="1"/>
    <col min="5" max="6" width="13" customWidth="1"/>
    <col min="7" max="7" width="11" customWidth="1"/>
    <col min="8" max="9" width="13" customWidth="1"/>
    <col min="10" max="10" width="12" customWidth="1"/>
    <col min="11" max="11" width="14" customWidth="1"/>
    <col min="12" max="12" width="11" customWidth="1"/>
    <col min="13" max="13" width="13" customWidth="1"/>
    <col min="14" max="16" width="15" customWidth="1"/>
    <col min="17" max="17" width="14" customWidth="1"/>
    <col min="18" max="18" width="12" customWidth="1"/>
    <col min="19" max="19" width="14" customWidth="1"/>
    <col min="20" max="20" width="26" customWidth="1"/>
  </cols>
  <sheetData>
    <row r="1" spans="1:23" x14ac:dyDescent="0.45">
      <c r="A1" s="6" t="s">
        <v>0</v>
      </c>
      <c r="B1" s="6"/>
      <c r="C1" s="6"/>
      <c r="D1" s="6"/>
      <c r="E1" s="6"/>
      <c r="F1" s="6"/>
      <c r="G1" s="5" t="s">
        <v>1</v>
      </c>
      <c r="H1" s="5"/>
      <c r="I1" s="5"/>
      <c r="J1" s="5"/>
      <c r="K1" s="4" t="s">
        <v>2</v>
      </c>
      <c r="L1" s="4"/>
      <c r="M1" s="4"/>
      <c r="N1" s="4"/>
      <c r="O1" s="3" t="s">
        <v>3</v>
      </c>
      <c r="P1" s="3"/>
      <c r="Q1" s="3"/>
      <c r="R1" s="3"/>
      <c r="S1" s="2" t="s">
        <v>4</v>
      </c>
      <c r="T1" s="2"/>
    </row>
    <row r="2" spans="1:23" ht="39.4" x14ac:dyDescent="0.4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46</v>
      </c>
      <c r="S2" s="7" t="s">
        <v>22</v>
      </c>
      <c r="T2" s="7" t="s">
        <v>23</v>
      </c>
      <c r="V2" s="8" t="s">
        <v>24</v>
      </c>
    </row>
    <row r="3" spans="1:23" x14ac:dyDescent="0.45">
      <c r="A3" s="9">
        <v>1</v>
      </c>
      <c r="B3" s="10" t="s">
        <v>25</v>
      </c>
      <c r="C3" s="10" t="s">
        <v>26</v>
      </c>
      <c r="D3" s="10" t="s">
        <v>27</v>
      </c>
      <c r="E3" s="9" t="s">
        <v>28</v>
      </c>
      <c r="F3" s="9" t="s">
        <v>29</v>
      </c>
      <c r="G3" s="11">
        <v>0.55000000000000004</v>
      </c>
      <c r="H3" s="12">
        <v>50000</v>
      </c>
      <c r="I3" s="12">
        <v>5000</v>
      </c>
      <c r="J3" s="11">
        <v>0.12</v>
      </c>
      <c r="K3" s="12">
        <v>3200</v>
      </c>
      <c r="L3" s="11">
        <f>IF(I3=0,0,K3/I3)</f>
        <v>0.64</v>
      </c>
      <c r="M3" s="11">
        <v>1.35</v>
      </c>
      <c r="N3" s="9" t="str">
        <f>IF(M3&lt;$W$4,"Call margin",IF(M3&lt;$W$3,"Cảnh báo","An toàn"))</f>
        <v>An toàn</v>
      </c>
      <c r="O3" s="12">
        <v>260</v>
      </c>
      <c r="P3" s="12">
        <v>150</v>
      </c>
      <c r="Q3" s="12">
        <f>O3-P3</f>
        <v>110</v>
      </c>
      <c r="R3" s="11">
        <f>IF(K3=0,0,Q3/K3)</f>
        <v>3.4375000000000003E-2</v>
      </c>
      <c r="S3" s="9" t="s">
        <v>30</v>
      </c>
      <c r="T3" s="10"/>
      <c r="V3" s="13" t="s">
        <v>31</v>
      </c>
      <c r="W3" s="14">
        <v>1</v>
      </c>
    </row>
    <row r="4" spans="1:23" x14ac:dyDescent="0.45">
      <c r="A4" s="9">
        <v>2</v>
      </c>
      <c r="B4" s="10" t="s">
        <v>32</v>
      </c>
      <c r="C4" s="10" t="s">
        <v>33</v>
      </c>
      <c r="D4" s="10" t="s">
        <v>34</v>
      </c>
      <c r="E4" s="9" t="s">
        <v>35</v>
      </c>
      <c r="F4" s="9" t="s">
        <v>36</v>
      </c>
      <c r="G4" s="11">
        <v>0.5</v>
      </c>
      <c r="H4" s="12">
        <v>120000</v>
      </c>
      <c r="I4" s="12">
        <v>12000</v>
      </c>
      <c r="J4" s="11">
        <v>0.115</v>
      </c>
      <c r="K4" s="12">
        <v>9800</v>
      </c>
      <c r="L4" s="11">
        <f>IF(I4=0,0,K4/I4)</f>
        <v>0.81666666666666665</v>
      </c>
      <c r="M4" s="11">
        <v>0.95</v>
      </c>
      <c r="N4" s="9" t="str">
        <f>IF(M4&lt;$W$4,"Call margin",IF(M4&lt;$W$3,"Cảnh báo","An toàn"))</f>
        <v>Cảnh báo</v>
      </c>
      <c r="O4" s="12">
        <v>720</v>
      </c>
      <c r="P4" s="12">
        <v>540</v>
      </c>
      <c r="Q4" s="12">
        <f>O4-P4</f>
        <v>180</v>
      </c>
      <c r="R4" s="11">
        <f>IF(K4=0,0,Q4/K4)</f>
        <v>1.8367346938775512E-2</v>
      </c>
      <c r="S4" s="9" t="s">
        <v>37</v>
      </c>
      <c r="T4" s="10" t="s">
        <v>38</v>
      </c>
      <c r="V4" s="13" t="s">
        <v>39</v>
      </c>
      <c r="W4" s="14">
        <v>0.87</v>
      </c>
    </row>
    <row r="5" spans="1:23" x14ac:dyDescent="0.45">
      <c r="A5" s="9">
        <v>3</v>
      </c>
      <c r="B5" s="10" t="s">
        <v>40</v>
      </c>
      <c r="C5" s="10" t="s">
        <v>41</v>
      </c>
      <c r="D5" s="10" t="s">
        <v>27</v>
      </c>
      <c r="E5" s="9" t="s">
        <v>42</v>
      </c>
      <c r="F5" s="9" t="s">
        <v>43</v>
      </c>
      <c r="G5" s="11">
        <v>0.45</v>
      </c>
      <c r="H5" s="12">
        <v>20000</v>
      </c>
      <c r="I5" s="12">
        <v>3000</v>
      </c>
      <c r="J5" s="11">
        <v>0.13</v>
      </c>
      <c r="K5" s="12">
        <v>2850</v>
      </c>
      <c r="L5" s="11">
        <f>IF(I5=0,0,K5/I5)</f>
        <v>0.95</v>
      </c>
      <c r="M5" s="11">
        <v>0.83</v>
      </c>
      <c r="N5" s="9" t="str">
        <f>IF(M5&lt;$W$4,"Call margin",IF(M5&lt;$W$3,"Cảnh báo","An toàn"))</f>
        <v>Call margin</v>
      </c>
      <c r="O5" s="12">
        <v>210</v>
      </c>
      <c r="P5" s="12">
        <v>140</v>
      </c>
      <c r="Q5" s="12">
        <f>O5-P5</f>
        <v>70</v>
      </c>
      <c r="R5" s="11">
        <f>IF(K5=0,0,Q5/K5)</f>
        <v>2.456140350877193E-2</v>
      </c>
      <c r="S5" s="9" t="s">
        <v>44</v>
      </c>
      <c r="T5" s="10" t="s">
        <v>45</v>
      </c>
    </row>
    <row r="7" spans="1:23" x14ac:dyDescent="0.45">
      <c r="A7" s="1" t="s">
        <v>47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mergeCells count="6">
    <mergeCell ref="A7:T7"/>
    <mergeCell ref="A1:F1"/>
    <mergeCell ref="G1:J1"/>
    <mergeCell ref="K1:N1"/>
    <mergeCell ref="O1:R1"/>
    <mergeCell ref="S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 KH deal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Phạm Thị Thùy</cp:lastModifiedBy>
  <cp:revision>0</cp:revision>
  <dcterms:created xsi:type="dcterms:W3CDTF">2026-07-01T10:04:33Z</dcterms:created>
  <dcterms:modified xsi:type="dcterms:W3CDTF">2026-07-01T10:41:49Z</dcterms:modified>
  <dc:language>en-US</dc:language>
</cp:coreProperties>
</file>