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M-07 Theo do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<sst xmlns="http://schemas.openxmlformats.org/spreadsheetml/2006/main" count="30" uniqueCount="30">
  <si>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BM-07 · FILE THEO DÕI TOÀN BỘ KHÁCH HÀNG DEAL</t>
  </si>
  <si>
    <t xml:space="preserve">MV-01 · P.QTRR chủ trì (được phân quyền theo dõi); phối hợp P.NCPT (cổ phiếu/DN) &amp; Môi giới (hiệu quả). Mỗi KH là một dòng. Ô nền vàng = nhập tay.</t>
  </si>
  <si>
    <t xml:space="preserve">A. NGOẠI LỆ ĐƯỢC DUYỆT</t>
  </si>
  <si>
    <t xml:space="preserve">B. RỦI RO (P.QTRR)</t>
  </si>
  <si>
    <t xml:space="preserve">C. HIỆU QUẢ (MG)</t>
  </si>
  <si>
    <t xml:space="preserve">D. CỔ PHIẾU/DN (P.NCPT)</t>
  </si>
  <si>
    <t xml:space="preserve">Khách hàng</t>
  </si>
  <si>
    <t xml:space="preserve">Số TK</t>
  </si>
  <si>
    <t xml:space="preserve">Hạn mức (trđ)</t>
  </si>
  <si>
    <t xml:space="preserve">Ngày hiệu lực</t>
  </si>
  <si>
    <t xml:space="preserve">Dư nợ (trđ)</t>
  </si>
  <si>
    <t xml:space="preserve">% dùng HM</t>
  </si>
  <si>
    <t xml:space="preserve">Rtt (%)</t>
  </si>
  <si>
    <t xml:space="preserve">Trạng thái</t>
  </si>
  <si>
    <t xml:space="preserve">LN ròng (trđ)</t>
  </si>
  <si>
    <t xml:space="preserve">ROI</t>
  </si>
  <si>
    <t xml:space="preserve">Ghi chú CP/DN (NCPT)</t>
  </si>
  <si>
    <t xml:space="preserve">Nguyễn Văn A</t>
  </si>
  <si>
    <t xml:space="preserve">001234</t>
  </si>
  <si>
    <t xml:space="preserve">01/07/2026</t>
  </si>
  <si>
    <t xml:space="preserve">HPG - triển vọng KD ổn định</t>
  </si>
  <si>
    <t xml:space="preserve">Công ty CP XYZ</t>
  </si>
  <si>
    <t xml:space="preserve">005678</t>
  </si>
  <si>
    <t xml:space="preserve">20/06/2026</t>
  </si>
  <si>
    <t xml:space="preserve">Theo dõi pha loãng, định giá cao</t>
  </si>
  <si>
    <t xml:space="preserve">Phạm Thị D</t>
  </si>
  <si>
    <t xml:space="preserve">009012</t>
  </si>
  <si>
    <t xml:space="preserve">15/06/2026</t>
  </si>
  <si>
    <t xml:space="preserve">Thanh khoản mã giảm</t>
  </si>
  <si>
    <t xml:space="preserve">Ngưỡng: Rtt ≥ 100% An toàn · 87–100% Cảnh báo · &lt; 87% Call margin. Cột % dùng HM, Trạng thái, ROI tự tính.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</si>
</sst>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5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9"/>
      <color rgb="FF0C4A6E"/>
      <name val="Arial"/>
      <family val="0"/>
      <charset val="1"/>
    </font>
    <font>
      <b val="true"/>
      <sz val="10"/>
      <color rgb="FF1E3A5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5E8F0"/>
        <bgColor rgb="FFCCFFFF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4D0"/>
      <rgbColor rgb="FF808080"/>
      <rgbColor rgb="FF9999FF"/>
      <rgbColor rgb="FF993366"/>
      <rgbColor rgb="FFFFF7D6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3A5F"/>
      <rgbColor rgb="FF339966"/>
      <rgbColor rgb="FF003300"/>
      <rgbColor rgb="FF333300"/>
      <rgbColor rgb="FF993300"/>
      <rgbColor rgb="FF993366"/>
      <rgbColor rgb="FF0C4A6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E4" s="3" t="s">
        <v>3</v>
      </c>
      <c r="I4" s="3" t="s">
        <v>4</v>
      </c>
      <c r="K4" s="3" t="s">
        <v>5</v>
      </c>
    </row>
    <row r="5" customFormat="false" ht="23.8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  <c r="K5" s="4" t="s">
        <v>16</v>
      </c>
    </row>
    <row r="6" customFormat="false" ht="15" hidden="false" customHeight="false" outlineLevel="0" collapsed="false">
      <c r="A6" s="5" t="s">
        <v>17</v>
      </c>
      <c r="B6" s="5" t="s">
        <v>18</v>
      </c>
      <c r="C6" s="6" t="n">
        <v>5000</v>
      </c>
      <c r="D6" s="5" t="s">
        <v>19</v>
      </c>
      <c r="E6" s="6" t="n">
        <v>3200</v>
      </c>
      <c r="F6" s="7" t="n">
        <f aca="false">IF(C6=0,0,E6/C6)</f>
        <v>0.64</v>
      </c>
      <c r="G6" s="6" t="n">
        <v>135</v>
      </c>
      <c r="H6" s="8" t="str">
        <f aca="false">IF(G6&lt;87,"Call margin",IF(G6&lt;100,"Cảnh báo","An toàn"))</f>
        <v>An toàn</v>
      </c>
      <c r="I6" s="6" t="n">
        <v>110</v>
      </c>
      <c r="J6" s="9" t="n">
        <f aca="false">IF(E6=0,0,I6/E6)</f>
        <v>0.034375</v>
      </c>
      <c r="K6" s="5" t="s">
        <v>20</v>
      </c>
    </row>
    <row r="7" customFormat="false" ht="15" hidden="false" customHeight="false" outlineLevel="0" collapsed="false">
      <c r="A7" s="5" t="s">
        <v>21</v>
      </c>
      <c r="B7" s="5" t="s">
        <v>22</v>
      </c>
      <c r="C7" s="6" t="n">
        <v>12000</v>
      </c>
      <c r="D7" s="5" t="s">
        <v>23</v>
      </c>
      <c r="E7" s="6" t="n">
        <v>9800</v>
      </c>
      <c r="F7" s="7" t="n">
        <f aca="false">IF(C7=0,0,E7/C7)</f>
        <v>0.816666666666667</v>
      </c>
      <c r="G7" s="6" t="n">
        <v>95</v>
      </c>
      <c r="H7" s="8" t="str">
        <f aca="false">IF(G7&lt;87,"Call margin",IF(G7&lt;100,"Cảnh báo","An toàn"))</f>
        <v>Cảnh báo</v>
      </c>
      <c r="I7" s="6" t="n">
        <v>180</v>
      </c>
      <c r="J7" s="9" t="n">
        <f aca="false">IF(E7=0,0,I7/E7)</f>
        <v>0.0183673469387755</v>
      </c>
      <c r="K7" s="5" t="s">
        <v>24</v>
      </c>
    </row>
    <row r="8" customFormat="false" ht="15" hidden="false" customHeight="false" outlineLevel="0" collapsed="false">
      <c r="A8" s="5" t="s">
        <v>25</v>
      </c>
      <c r="B8" s="5" t="s">
        <v>26</v>
      </c>
      <c r="C8" s="6" t="n">
        <v>3000</v>
      </c>
      <c r="D8" s="5" t="s">
        <v>27</v>
      </c>
      <c r="E8" s="6" t="n">
        <v>2850</v>
      </c>
      <c r="F8" s="7" t="n">
        <f aca="false">IF(C8=0,0,E8/C8)</f>
        <v>0.95</v>
      </c>
      <c r="G8" s="6" t="n">
        <v>83</v>
      </c>
      <c r="H8" s="8" t="str">
        <f aca="false">IF(G8&lt;87,"Call margin",IF(G8&lt;100,"Cảnh báo","An toàn"))</f>
        <v>Call margin</v>
      </c>
      <c r="I8" s="6" t="n">
        <v>70</v>
      </c>
      <c r="J8" s="9" t="n">
        <f aca="false">IF(E8=0,0,I8/E8)</f>
        <v>0.0245614035087719</v>
      </c>
      <c r="K8" s="5" t="s">
        <v>28</v>
      </c>
    </row>
    <row r="10" customFormat="false" ht="15" hidden="false" customHeight="false" outlineLevel="0" collapsed="false">
      <c r="A10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2026-07-16T10:59:40Z</dcterms:created>
  <dc:creator>openpyxl</dc:creator>
  <dc:description/>
  <dc:language>en-US</dc:language>
  <cp:lastModifiedBy/>
  <dcterms:modified xsi:type="dcterms:W3CDTF">2026-07-16T10:59:40Z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