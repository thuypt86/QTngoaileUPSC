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Claude\Projects\Quy trình UPSC\"/>
    </mc:Choice>
  </mc:AlternateContent>
  <xr:revisionPtr revIDLastSave="0" documentId="13_ncr:1_{C156FE99-F3FC-40B2-B394-6D4767E97195}" xr6:coauthVersionLast="47" xr6:coauthVersionMax="47" xr10:uidLastSave="{00000000-0000-0000-0000-000000000000}"/>
  <bookViews>
    <workbookView xWindow="-98" yWindow="-98" windowWidth="21795" windowHeight="13875" tabRatio="500" xr2:uid="{00000000-000D-0000-FFFF-FFFF00000000}"/>
  </bookViews>
  <sheets>
    <sheet name="Đánh giá KH &amp; ROI" sheetId="1" r:id="rId1"/>
    <sheet name="Hướng dẫ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1" i="1" l="1"/>
  <c r="C27" i="1"/>
  <c r="C26" i="1"/>
  <c r="C24" i="1"/>
  <c r="C22" i="1"/>
  <c r="C21" i="1"/>
  <c r="C25" i="1"/>
  <c r="C19" i="1"/>
  <c r="C11" i="1"/>
  <c r="C18" i="1" l="1"/>
  <c r="C23" i="1"/>
</calcChain>
</file>

<file path=xl/sharedStrings.xml><?xml version="1.0" encoding="utf-8"?>
<sst xmlns="http://schemas.openxmlformats.org/spreadsheetml/2006/main" count="39" uniqueCount="38">
  <si>
    <t>BM-02 · ĐÁNH GIÁ KHÁCH HÀNG &amp; HIỆU QUẢ (ROI) — DEAL NGOẠI LỆ</t>
  </si>
  <si>
    <t>I. Thông tin khách hàng</t>
  </si>
  <si>
    <t>Khách hàng</t>
  </si>
  <si>
    <t>Số tài khoản</t>
  </si>
  <si>
    <t>Môi giới phụ trách</t>
  </si>
  <si>
    <t>II. Giả định đầu vào (ô xanh = nhập tay)</t>
  </si>
  <si>
    <t>Hạn mức cho vay đề xuất (triệu đồng)</t>
  </si>
  <si>
    <t>% sử dụng hạn mức bình quân</t>
  </si>
  <si>
    <t>Dư nợ bình quân (triệu đồng)</t>
  </si>
  <si>
    <t>Công thức: Hạn mức × % sử dụng</t>
  </si>
  <si>
    <t>Lãi suất cho vay ngoại lệ (%/năm)</t>
  </si>
  <si>
    <t>Chi phí vốn công ty (%/năm)</t>
  </si>
  <si>
    <t>Giá trị giao dịch dự kiến/năm (triệu đồng)</t>
  </si>
  <si>
    <t>Phí giao dịch (% giá trị GD)</t>
  </si>
  <si>
    <t>III. Kết quả ước tính/năm</t>
  </si>
  <si>
    <t>Thu nhập lãi vay (triệu đồng)</t>
  </si>
  <si>
    <t>Công thức: Dư nợ BQ × lãi suất</t>
  </si>
  <si>
    <t>Thu phí giao dịch (triệu đồng)</t>
  </si>
  <si>
    <t>Tổng doanh thu từ khách hàng (triệu đồng)</t>
  </si>
  <si>
    <t>Chi phí vốn (triệu đồng)</t>
  </si>
  <si>
    <t>Công thức: Dư nợ BQ × chi phí vốn %</t>
  </si>
  <si>
    <t>Lợi nhuận ròng ước tính (triệu đồng)</t>
  </si>
  <si>
    <t>Biên lãi ròng cho vay (%)</t>
  </si>
  <si>
    <t>Công thức: lãi suất − chi phí vốn</t>
  </si>
  <si>
    <t>ROI trên dư nợ (%)</t>
  </si>
  <si>
    <t>Hiệu suất trên hạn mức (%)</t>
  </si>
  <si>
    <t>IV. Đánh giá hiệu quả</t>
  </si>
  <si>
    <t>Kết luận hiệu quả</t>
  </si>
  <si>
    <t>BM-02 — Đánh giá khách hàng &amp; hiệu quả (ROI) cho deal ngoại lệ.</t>
  </si>
  <si>
    <t>• Ô chữ XANH là giả định nhập tay; ô ĐEN là công thức tự tính.</t>
  </si>
  <si>
    <t>• Dư nợ bình quân = Hạn mức × % sử dụng bình quân.</t>
  </si>
  <si>
    <t>• Tổng doanh thu = Thu lãi vay + Thu phí giao dịch.</t>
  </si>
  <si>
    <t>• Lợi nhuận ròng = Tổng doanh thu − Chi phí vốn.</t>
  </si>
  <si>
    <t>• ROI trên dư nợ = Lợi nhuận ròng / Dư nợ bình quân — so với ngưỡng tối thiểu để kết luận.</t>
  </si>
  <si>
    <t>• PTSP dùng file này làm cơ sở ý kiến hiệu quả tại BM-04 (tờ trình TGĐ).</t>
  </si>
  <si>
    <t>Hoa hồng trả sale</t>
  </si>
  <si>
    <t>Doanh thu phí NET (trừ hoa hồng)</t>
  </si>
  <si>
    <t>Công thức: Giá trị GD × (phí %- % phí sở)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</si>
</sst>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sz val="10"/>
      <name val="Arial"/>
    </font>
    <font>
      <b/>
      <sz val="13"/>
      <color rgb="FF1E3A5F"/>
      <name val="Arial"/>
      <charset val="1"/>
    </font>
    <font>
      <b/>
      <sz val="11"/>
      <color rgb="FF1E3A5F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  <font>
      <i/>
      <sz val="11"/>
      <color rgb="FF6B7280"/>
      <name val="Arial"/>
      <charset val="1"/>
    </font>
    <font>
      <b/>
      <sz val="11"/>
      <name val="Arial"/>
      <charset val="1"/>
    </font>
    <font>
      <b/>
      <sz val="11"/>
      <color rgb="FF1F7A4D"/>
      <name val="Arial"/>
      <charset val="1"/>
    </font>
    <font>
      <b/>
      <sz val="12"/>
      <color rgb="FF1E3A5F"/>
      <name val="Arial"/>
      <charset val="1"/>
    </font>
    <font>
      <sz val="10"/>
      <color rgb="FF0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D5E8F0"/>
        <bgColor rgb="FFCCFFFF"/>
      </patternFill>
    </fill>
  </fills>
  <borders count="2">
    <border>
      <left/>
      <right/>
      <top/>
      <bottom/>
      <diagonal/>
    </border>
    <border>
      <left style="thin">
        <color rgb="FFBFC9D6"/>
      </left>
      <right style="thin">
        <color rgb="FFBFC9D6"/>
      </right>
      <top style="thin">
        <color rgb="FFBFC9D6"/>
      </top>
      <bottom style="thin">
        <color rgb="FFBFC9D6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19">
    <xf numFmtId="0" fontId="0" fillId="0" borderId="0" xfId="0"/>
    <xf numFmtId="0" fontId="3" fillId="2" borderId="0" xfId="0" applyFont="1" applyFill="1"/>
    <xf numFmtId="0" fontId="2" fillId="0" borderId="0" xfId="0" applyFont="1"/>
    <xf numFmtId="0" fontId="4" fillId="0" borderId="1" xfId="0" applyFont="1" applyBorder="1"/>
    <xf numFmtId="0" fontId="5" fillId="0" borderId="1" xfId="0" applyFont="1" applyBorder="1" applyAlignment="1">
      <alignment horizontal="right"/>
    </xf>
    <xf numFmtId="0" fontId="0" fillId="0" borderId="1" xfId="0" applyBorder="1"/>
    <xf numFmtId="3" fontId="5" fillId="0" borderId="1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7" fillId="0" borderId="1" xfId="0" applyFont="1" applyBorder="1"/>
    <xf numFmtId="10" fontId="5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3" fontId="9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right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9" fontId="1" fillId="0" borderId="1" xfId="1" applyBorder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D"/>
      <rgbColor rgb="FFBFC9D6"/>
      <rgbColor rgb="FF808080"/>
      <rgbColor rgb="FF9999FF"/>
      <rgbColor rgb="FF993366"/>
      <rgbColor rgb="FFFFFFCC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31"/>
  <sheetViews>
    <sheetView tabSelected="1" topLeftCell="A7" zoomScaleNormal="100" workbookViewId="0">
      <selection activeCell="F26" sqref="F26"/>
    </sheetView>
  </sheetViews>
  <sheetFormatPr defaultColWidth="8.6640625" defaultRowHeight="14.25" x14ac:dyDescent="0.45"/>
  <cols>
    <col min="1" max="1" width="3" customWidth="1"/>
    <col min="2" max="2" width="40" customWidth="1"/>
    <col min="3" max="3" width="18" customWidth="1"/>
    <col min="4" max="4" width="44" customWidth="1"/>
  </cols>
  <sheetData>
    <row r="1" spans="2:4" ht="16.899999999999999" x14ac:dyDescent="0.5">
      <c r="B1" s="2" t="s">
        <v>0</v>
      </c>
      <c r="C1" s="2"/>
      <c r="D1" s="2"/>
    </row>
    <row r="3" spans="2:4" x14ac:dyDescent="0.45">
      <c r="B3" s="1" t="s">
        <v>1</v>
      </c>
      <c r="C3" s="1"/>
      <c r="D3" s="1"/>
    </row>
    <row r="4" spans="2:4" x14ac:dyDescent="0.45">
      <c r="B4" s="3" t="s">
        <v>2</v>
      </c>
      <c r="C4" s="4"/>
      <c r="D4" s="5"/>
    </row>
    <row r="5" spans="2:4" x14ac:dyDescent="0.45">
      <c r="B5" s="3" t="s">
        <v>3</v>
      </c>
      <c r="C5" s="4"/>
      <c r="D5" s="5"/>
    </row>
    <row r="6" spans="2:4" x14ac:dyDescent="0.45">
      <c r="B6" s="3" t="s">
        <v>4</v>
      </c>
      <c r="C6" s="4"/>
      <c r="D6" s="5"/>
    </row>
    <row r="8" spans="2:4" x14ac:dyDescent="0.45">
      <c r="B8" s="1" t="s">
        <v>5</v>
      </c>
      <c r="C8" s="1"/>
      <c r="D8" s="1"/>
    </row>
    <row r="9" spans="2:4" x14ac:dyDescent="0.45">
      <c r="B9" s="3" t="s">
        <v>6</v>
      </c>
      <c r="C9" s="6">
        <v>5000</v>
      </c>
      <c r="D9" s="5"/>
    </row>
    <row r="10" spans="2:4" x14ac:dyDescent="0.45">
      <c r="B10" s="3" t="s">
        <v>7</v>
      </c>
      <c r="C10" s="7">
        <v>0.7</v>
      </c>
      <c r="D10" s="5"/>
    </row>
    <row r="11" spans="2:4" x14ac:dyDescent="0.45">
      <c r="B11" s="3" t="s">
        <v>8</v>
      </c>
      <c r="C11" s="8">
        <f>C9*C10</f>
        <v>3500</v>
      </c>
      <c r="D11" s="9" t="s">
        <v>9</v>
      </c>
    </row>
    <row r="12" spans="2:4" x14ac:dyDescent="0.45">
      <c r="B12" s="3" t="s">
        <v>10</v>
      </c>
      <c r="C12" s="7">
        <v>0.15</v>
      </c>
      <c r="D12" s="5"/>
    </row>
    <row r="13" spans="2:4" x14ac:dyDescent="0.45">
      <c r="B13" s="3" t="s">
        <v>11</v>
      </c>
      <c r="C13" s="7">
        <v>0.12</v>
      </c>
      <c r="D13" s="5"/>
    </row>
    <row r="14" spans="2:4" x14ac:dyDescent="0.45">
      <c r="B14" s="3" t="s">
        <v>12</v>
      </c>
      <c r="C14" s="6">
        <v>20000</v>
      </c>
      <c r="D14" s="5"/>
    </row>
    <row r="15" spans="2:4" x14ac:dyDescent="0.45">
      <c r="B15" s="3" t="s">
        <v>13</v>
      </c>
      <c r="C15" s="10">
        <v>1.5E-3</v>
      </c>
      <c r="D15" s="5"/>
    </row>
    <row r="17" spans="2:4" x14ac:dyDescent="0.45">
      <c r="B17" s="1" t="s">
        <v>14</v>
      </c>
      <c r="C17" s="1"/>
      <c r="D17" s="1"/>
    </row>
    <row r="18" spans="2:4" x14ac:dyDescent="0.45">
      <c r="B18" s="3" t="s">
        <v>15</v>
      </c>
      <c r="C18" s="8">
        <f>C11*C12</f>
        <v>525</v>
      </c>
      <c r="D18" s="9" t="s">
        <v>16</v>
      </c>
    </row>
    <row r="19" spans="2:4" x14ac:dyDescent="0.45">
      <c r="B19" s="3" t="s">
        <v>17</v>
      </c>
      <c r="C19" s="8">
        <f>C14*C15</f>
        <v>30</v>
      </c>
      <c r="D19" s="9" t="s">
        <v>37</v>
      </c>
    </row>
    <row r="20" spans="2:4" x14ac:dyDescent="0.45">
      <c r="B20" s="3" t="s">
        <v>35</v>
      </c>
      <c r="C20" s="18">
        <v>0.7</v>
      </c>
      <c r="D20" s="9"/>
    </row>
    <row r="21" spans="2:4" x14ac:dyDescent="0.45">
      <c r="B21" s="3" t="s">
        <v>36</v>
      </c>
      <c r="C21" s="8">
        <f>C19*(1-C20)</f>
        <v>9.0000000000000018</v>
      </c>
      <c r="D21" s="9"/>
    </row>
    <row r="22" spans="2:4" x14ac:dyDescent="0.45">
      <c r="B22" s="3" t="s">
        <v>18</v>
      </c>
      <c r="C22" s="11">
        <f>C18+C21</f>
        <v>534</v>
      </c>
      <c r="D22" s="5"/>
    </row>
    <row r="23" spans="2:4" x14ac:dyDescent="0.45">
      <c r="B23" s="3" t="s">
        <v>19</v>
      </c>
      <c r="C23" s="8">
        <f>C11*C13</f>
        <v>420</v>
      </c>
      <c r="D23" s="9" t="s">
        <v>20</v>
      </c>
    </row>
    <row r="24" spans="2:4" x14ac:dyDescent="0.45">
      <c r="B24" s="3" t="s">
        <v>21</v>
      </c>
      <c r="C24" s="12">
        <f>C22-C23</f>
        <v>114</v>
      </c>
      <c r="D24" s="5"/>
    </row>
    <row r="25" spans="2:4" x14ac:dyDescent="0.45">
      <c r="B25" s="3" t="s">
        <v>22</v>
      </c>
      <c r="C25" s="13">
        <f>C12-C13</f>
        <v>0.03</v>
      </c>
      <c r="D25" s="9" t="s">
        <v>23</v>
      </c>
    </row>
    <row r="26" spans="2:4" x14ac:dyDescent="0.45">
      <c r="B26" s="3" t="s">
        <v>24</v>
      </c>
      <c r="C26" s="14">
        <f>IF(C11=0,0,C22/C11)</f>
        <v>0.15257142857142858</v>
      </c>
      <c r="D26" s="5"/>
    </row>
    <row r="27" spans="2:4" x14ac:dyDescent="0.45">
      <c r="B27" s="3" t="s">
        <v>25</v>
      </c>
      <c r="C27" s="13">
        <f>C26-C13</f>
        <v>3.2571428571428584E-2</v>
      </c>
      <c r="D27" s="5"/>
    </row>
    <row r="29" spans="2:4" x14ac:dyDescent="0.45">
      <c r="B29" s="1" t="s">
        <v>26</v>
      </c>
      <c r="C29" s="1"/>
      <c r="D29" s="1"/>
    </row>
    <row r="30" spans="2:4" x14ac:dyDescent="0.45">
      <c r="B30" s="3" t="s">
        <v>25</v>
      </c>
      <c r="C30" s="7">
        <v>0.05</v>
      </c>
      <c r="D30" s="5"/>
    </row>
    <row r="31" spans="2:4" x14ac:dyDescent="0.45">
      <c r="B31" s="3" t="s">
        <v>27</v>
      </c>
      <c r="C31" s="15" t="str">
        <f>IF(C27&gt;=C30,"ĐẠT hiệu quả","CHƯA đạt")</f>
        <v>CHƯA đạt</v>
      </c>
      <c r="D31" s="5"/>
    </row>
  </sheetData>
  <mergeCells count="5">
    <mergeCell ref="B1:D1"/>
    <mergeCell ref="B3:D3"/>
    <mergeCell ref="B8:D8"/>
    <mergeCell ref="B17:D17"/>
    <mergeCell ref="B29:D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zoomScaleNormal="100" workbookViewId="0"/>
  </sheetViews>
  <sheetFormatPr defaultColWidth="8.6640625" defaultRowHeight="14.25" x14ac:dyDescent="0.45"/>
  <cols>
    <col min="1" max="1" width="100" customWidth="1"/>
  </cols>
  <sheetData>
    <row r="1" spans="1:1" ht="15.4" x14ac:dyDescent="0.45">
      <c r="A1" s="16" t="s">
        <v>28</v>
      </c>
    </row>
    <row r="2" spans="1:1" x14ac:dyDescent="0.45">
      <c r="A2" s="17" t="s">
        <v>29</v>
      </c>
    </row>
    <row r="3" spans="1:1" x14ac:dyDescent="0.45">
      <c r="A3" s="17" t="s">
        <v>30</v>
      </c>
    </row>
    <row r="4" spans="1:1" x14ac:dyDescent="0.45">
      <c r="A4" s="17" t="s">
        <v>31</v>
      </c>
    </row>
    <row r="5" spans="1:1" x14ac:dyDescent="0.45">
      <c r="A5" s="17" t="s">
        <v>32</v>
      </c>
    </row>
    <row r="6" spans="1:1" x14ac:dyDescent="0.45">
      <c r="A6" s="17" t="s">
        <v>33</v>
      </c>
    </row>
    <row r="7" spans="1:1" x14ac:dyDescent="0.45">
      <c r="A7" s="17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Đánh giá KH &amp; ROI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Phạm Thị Thùy</cp:lastModifiedBy>
  <cp:revision>0</cp:revision>
  <dcterms:created xsi:type="dcterms:W3CDTF">2026-07-01T10:04:33Z</dcterms:created>
  <dcterms:modified xsi:type="dcterms:W3CDTF">2026-07-01T10:39:23Z</dcterms:modified>
  <dc:language>en-US</dc:language>
</cp:coreProperties>
</file>