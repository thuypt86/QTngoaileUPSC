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M-02 RO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Dư nợ bình quân = Hạn mức × % sử dụng (tự tính).</t>
        </r>
      </text>
    </comment>
  </commentList>
</comments>
</file>

<file path=xl/sharedStrings.xml><?xml version="1.0" encoding="utf-8"?>
<sst xmlns="http://schemas.openxmlformats.org/spreadsheetml/2006/main" count="28" uniqueCount="28">
  <si>
    <t xml:space="preserve">BM-02 · BẢNG TÍNH HIỆU QUẢ / ROI (TỰ ĐỘNG)</t>
  </si>
  <si>
    <t xml:space="preserve">MV-01 · Công cụ tính kèm BM-01. Ô nền vàng, chữ xanh = Môi giới nhập; các ô khác tự tính.</t>
  </si>
  <si>
    <t xml:space="preserve">I. Giả định đầu vào</t>
  </si>
  <si>
    <t xml:space="preserve">Hạn mức cho vay đề xuất (trđ)</t>
  </si>
  <si>
    <t xml:space="preserve">% sử dụng hạn mức bình quân</t>
  </si>
  <si>
    <t xml:space="preserve">Dư nợ bình quân (trđ)</t>
  </si>
  <si>
    <t xml:space="preserve">Lãi suất cho vay ngoại lệ (%/năm)</t>
  </si>
  <si>
    <t xml:space="preserve">Chi phí vốn công ty (%/năm)</t>
  </si>
  <si>
    <t xml:space="preserve">Giá trị giao dịch dự kiến/năm (trđ)</t>
  </si>
  <si>
    <t xml:space="preserve">Phí giao dịch (% giá trị GD)</t>
  </si>
  <si>
    <t xml:space="preserve">II. Kết quả ước tính/năm (tự tính)</t>
  </si>
  <si>
    <t xml:space="preserve">Chỉ tiêu</t>
  </si>
  <si>
    <t xml:space="preserve">Công thức</t>
  </si>
  <si>
    <t xml:space="preserve">Kết quả (trđ)</t>
  </si>
  <si>
    <t xml:space="preserve">Thu nhập lãi vay</t>
  </si>
  <si>
    <t xml:space="preserve">Dư nợ BQ × lãi suất</t>
  </si>
  <si>
    <t xml:space="preserve">Thu phí giao dịch</t>
  </si>
  <si>
    <t xml:space="preserve">Giá trị GD × phí %</t>
  </si>
  <si>
    <t xml:space="preserve">Tổng doanh thu</t>
  </si>
  <si>
    <t xml:space="preserve">Lãi + phí</t>
  </si>
  <si>
    <t xml:space="preserve">Chi phí vốn</t>
  </si>
  <si>
    <t xml:space="preserve">Dư nợ BQ × chi phí vốn</t>
  </si>
  <si>
    <t xml:space="preserve">Lợi nhuận ròng</t>
  </si>
  <si>
    <t xml:space="preserve">Doanh thu − chi phí vốn</t>
  </si>
  <si>
    <t xml:space="preserve">ROI trên dư nợ</t>
  </si>
  <si>
    <t xml:space="preserve">Lợi nhuận / dư nợ BQ</t>
  </si>
  <si>
    <t xml:space="preserve">Ngưỡng ROI tối thiểu</t>
  </si>
  <si>
    <t xml:space="preserve">Kết luận (tự tính)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</si>
</sst>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0"/>
      <rgbColor rgb="FF808080"/>
      <rgbColor rgb="FF9999FF"/>
      <rgbColor rgb="FF993366"/>
      <rgbColor rgb="FFFFF7D6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5000</v>
      </c>
    </row>
    <row r="6" customFormat="false" ht="15" hidden="false" customHeight="false" outlineLevel="0" collapsed="false">
      <c r="A6" s="4" t="s">
        <v>4</v>
      </c>
      <c r="B6" s="6" t="n">
        <v>0.7</v>
      </c>
    </row>
    <row r="7" customFormat="false" ht="15" hidden="false" customHeight="false" outlineLevel="0" collapsed="false">
      <c r="A7" s="4" t="s">
        <v>5</v>
      </c>
      <c r="B7" s="7" t="n">
        <f aca="false">B5*B6</f>
        <v>3500</v>
      </c>
    </row>
    <row r="8" customFormat="false" ht="15" hidden="false" customHeight="false" outlineLevel="0" collapsed="false">
      <c r="A8" s="4" t="s">
        <v>6</v>
      </c>
      <c r="B8" s="6" t="n">
        <v>0.12</v>
      </c>
    </row>
    <row r="9" customFormat="false" ht="15" hidden="false" customHeight="false" outlineLevel="0" collapsed="false">
      <c r="A9" s="4" t="s">
        <v>7</v>
      </c>
      <c r="B9" s="6" t="n">
        <v>0.07</v>
      </c>
    </row>
    <row r="10" customFormat="false" ht="15" hidden="false" customHeight="false" outlineLevel="0" collapsed="false">
      <c r="A10" s="4" t="s">
        <v>8</v>
      </c>
      <c r="B10" s="5" t="n">
        <v>20000</v>
      </c>
    </row>
    <row r="11" customFormat="false" ht="15" hidden="false" customHeight="false" outlineLevel="0" collapsed="false">
      <c r="A11" s="4" t="s">
        <v>9</v>
      </c>
      <c r="B11" s="8" t="n">
        <v>0.0015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9" t="s">
        <v>11</v>
      </c>
      <c r="B14" s="9" t="s">
        <v>12</v>
      </c>
      <c r="C14" s="9" t="s">
        <v>13</v>
      </c>
    </row>
    <row r="15" customFormat="false" ht="15" hidden="false" customHeight="false" outlineLevel="0" collapsed="false">
      <c r="A15" s="4" t="s">
        <v>14</v>
      </c>
      <c r="B15" s="10" t="s">
        <v>15</v>
      </c>
      <c r="C15" s="7" t="n">
        <f aca="false">B7*B8</f>
        <v>420</v>
      </c>
    </row>
    <row r="16" customFormat="false" ht="15" hidden="false" customHeight="false" outlineLevel="0" collapsed="false">
      <c r="A16" s="4" t="s">
        <v>16</v>
      </c>
      <c r="B16" s="10" t="s">
        <v>17</v>
      </c>
      <c r="C16" s="7" t="n">
        <f aca="false">B10*B11</f>
        <v>30</v>
      </c>
    </row>
    <row r="17" customFormat="false" ht="15" hidden="false" customHeight="false" outlineLevel="0" collapsed="false">
      <c r="A17" s="4" t="s">
        <v>18</v>
      </c>
      <c r="B17" s="10" t="s">
        <v>19</v>
      </c>
      <c r="C17" s="7" t="n">
        <f aca="false">C15+C16</f>
        <v>450</v>
      </c>
    </row>
    <row r="18" customFormat="false" ht="15" hidden="false" customHeight="false" outlineLevel="0" collapsed="false">
      <c r="A18" s="4" t="s">
        <v>20</v>
      </c>
      <c r="B18" s="10" t="s">
        <v>21</v>
      </c>
      <c r="C18" s="7" t="n">
        <f aca="false">B7*B9</f>
        <v>245</v>
      </c>
    </row>
    <row r="19" customFormat="false" ht="15" hidden="false" customHeight="false" outlineLevel="0" collapsed="false">
      <c r="A19" s="4" t="s">
        <v>22</v>
      </c>
      <c r="B19" s="10" t="s">
        <v>23</v>
      </c>
      <c r="C19" s="7" t="n">
        <f aca="false">C17-C18</f>
        <v>205</v>
      </c>
    </row>
    <row r="20" customFormat="false" ht="15" hidden="false" customHeight="false" outlineLevel="0" collapsed="false">
      <c r="A20" s="4" t="s">
        <v>24</v>
      </c>
      <c r="B20" s="10" t="s">
        <v>25</v>
      </c>
      <c r="C20" s="11" t="n">
        <f aca="false">C19/B7</f>
        <v>0.0585714285714286</v>
      </c>
    </row>
    <row r="22" customFormat="false" ht="15" hidden="false" customHeight="false" outlineLevel="0" collapsed="false">
      <c r="A22" s="4" t="s">
        <v>26</v>
      </c>
      <c r="B22" s="6" t="n">
        <v>0.05</v>
      </c>
    </row>
    <row r="23" customFormat="false" ht="15" hidden="false" customHeight="false" outlineLevel="0" collapsed="false">
      <c r="A23" s="3" t="s">
        <v>27</v>
      </c>
      <c r="B23" s="3" t="str">
        <f aca="false">IF(C20&gt;=B22,"ĐẠT hiệu quả","CHƯA ĐẠT")</f>
        <v>ĐẠT hiệu quả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2026-07-16T10:59:40Z</dcterms:created>
  <dc:creator>openpyxl</dc:creator>
  <dc:description/>
  <dc:language>en-US</dc:language>
  <cp:lastModifiedBy/>
  <dcterms:modified xsi:type="dcterms:W3CDTF">2026-07-16T10:59:40Z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